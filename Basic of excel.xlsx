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3256" windowHeight="9768" activeTab="4"/>
  </bookViews>
  <sheets>
    <sheet name="students" sheetId="4" r:id="rId1"/>
    <sheet name="teachers" sheetId="3" r:id="rId2"/>
    <sheet name="course" sheetId="2" r:id="rId3"/>
    <sheet name="fees" sheetId="1" r:id="rId4"/>
    <sheet name="result" sheetId="5" r:id="rId5"/>
  </sheets>
  <calcPr calcId="124519"/>
</workbook>
</file>

<file path=xl/calcChain.xml><?xml version="1.0" encoding="utf-8"?>
<calcChain xmlns="http://schemas.openxmlformats.org/spreadsheetml/2006/main">
  <c r="K12" i="5"/>
  <c r="K11"/>
  <c r="K10"/>
  <c r="K9"/>
  <c r="K8"/>
  <c r="K7"/>
  <c r="K3"/>
  <c r="K5"/>
  <c r="K6"/>
  <c r="J7"/>
  <c r="J6"/>
  <c r="J5"/>
  <c r="J4"/>
  <c r="K4" s="1"/>
  <c r="J12"/>
  <c r="J11"/>
  <c r="J10"/>
  <c r="J9"/>
  <c r="J8"/>
  <c r="J3"/>
</calcChain>
</file>

<file path=xl/sharedStrings.xml><?xml version="1.0" encoding="utf-8"?>
<sst xmlns="http://schemas.openxmlformats.org/spreadsheetml/2006/main" count="21" uniqueCount="21">
  <si>
    <t>Name</t>
  </si>
  <si>
    <t>ENG</t>
  </si>
  <si>
    <t>HINDI</t>
  </si>
  <si>
    <t>TOTAL</t>
  </si>
  <si>
    <t>S. S</t>
  </si>
  <si>
    <t>GUJ.</t>
  </si>
  <si>
    <t>SCI</t>
  </si>
  <si>
    <t>MATH.</t>
  </si>
  <si>
    <t>AMIT</t>
  </si>
  <si>
    <t>DILIP</t>
  </si>
  <si>
    <t>RAMESH</t>
  </si>
  <si>
    <t>HARKISHAN</t>
  </si>
  <si>
    <t>RAJU</t>
  </si>
  <si>
    <t>MAHENDRA</t>
  </si>
  <si>
    <t>GIRISH</t>
  </si>
  <si>
    <t>ASHOK</t>
  </si>
  <si>
    <t>KALPESH</t>
  </si>
  <si>
    <t>percentage</t>
  </si>
  <si>
    <t>STUDENT MARSHEET OF DIVISION A 2026-27</t>
  </si>
  <si>
    <t>PARAM AMITBHAI PATEL</t>
  </si>
  <si>
    <t>DOB</t>
  </si>
</sst>
</file>

<file path=xl/styles.xml><?xml version="1.0" encoding="utf-8"?>
<styleSheet xmlns="http://schemas.openxmlformats.org/spreadsheetml/2006/main">
  <numFmts count="1">
    <numFmt numFmtId="168" formatCode="[$-14009]dddd\,\ d\ mmmm\,\ yyyy;@"/>
  </numFmts>
  <fonts count="7">
    <font>
      <sz val="11"/>
      <color theme="1"/>
      <name val="Calibri"/>
      <family val="2"/>
      <scheme val="minor"/>
    </font>
    <font>
      <sz val="11"/>
      <color theme="1"/>
      <name val="Berlin Sans FB"/>
      <family val="2"/>
    </font>
    <font>
      <sz val="14"/>
      <color theme="1"/>
      <name val="Open Sans"/>
    </font>
    <font>
      <sz val="14"/>
      <color theme="1"/>
      <name val="Inter"/>
    </font>
    <font>
      <b/>
      <u val="double"/>
      <sz val="14"/>
      <color theme="0"/>
      <name val="Open Sans"/>
    </font>
    <font>
      <b/>
      <u val="double"/>
      <sz val="14"/>
      <color theme="0"/>
      <name val="Lora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3" fillId="0" borderId="2" xfId="0" applyFont="1" applyBorder="1"/>
    <xf numFmtId="2" fontId="3" fillId="0" borderId="2" xfId="0" applyNumberFormat="1" applyFont="1" applyBorder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/>
    </xf>
    <xf numFmtId="168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2060"/>
  </sheetPr>
  <dimension ref="A1"/>
  <sheetViews>
    <sheetView workbookViewId="0">
      <selection activeCell="G31" sqref="G31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"/>
  <sheetViews>
    <sheetView zoomScale="175" zoomScaleNormal="175" workbookViewId="0">
      <selection activeCell="A14" sqref="A14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K14"/>
  <sheetViews>
    <sheetView tabSelected="1" zoomScale="175" zoomScaleNormal="175" zoomScaleSheetLayoutView="145" workbookViewId="0">
      <selection activeCell="D3" sqref="D3"/>
    </sheetView>
  </sheetViews>
  <sheetFormatPr defaultRowHeight="14.4"/>
  <cols>
    <col min="1" max="1" width="4.21875" style="1" bestFit="1" customWidth="1"/>
    <col min="2" max="2" width="16.21875" style="1" bestFit="1" customWidth="1"/>
    <col min="3" max="3" width="32" style="1" bestFit="1" customWidth="1"/>
    <col min="4" max="7" width="10.6640625" style="1" bestFit="1" customWidth="1"/>
    <col min="8" max="9" width="10.5546875" style="1" bestFit="1" customWidth="1"/>
    <col min="10" max="10" width="12.33203125" style="1" bestFit="1" customWidth="1"/>
    <col min="11" max="11" width="15" style="1" bestFit="1" customWidth="1"/>
  </cols>
  <sheetData>
    <row r="1" spans="1:11" ht="24.6" customHeight="1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3.4" customHeight="1">
      <c r="A2" s="7"/>
      <c r="B2" s="8" t="s">
        <v>0</v>
      </c>
      <c r="C2" s="8" t="s">
        <v>20</v>
      </c>
      <c r="D2" s="8" t="s">
        <v>1</v>
      </c>
      <c r="E2" s="8" t="s">
        <v>7</v>
      </c>
      <c r="F2" s="8" t="s">
        <v>6</v>
      </c>
      <c r="G2" s="8" t="s">
        <v>2</v>
      </c>
      <c r="H2" s="8" t="s">
        <v>5</v>
      </c>
      <c r="I2" s="8" t="s">
        <v>4</v>
      </c>
      <c r="J2" s="8" t="s">
        <v>3</v>
      </c>
      <c r="K2" s="8" t="s">
        <v>17</v>
      </c>
    </row>
    <row r="3" spans="1:11" ht="22.2">
      <c r="A3" s="4">
        <v>1</v>
      </c>
      <c r="B3" s="5" t="s">
        <v>8</v>
      </c>
      <c r="C3" s="13">
        <v>27590</v>
      </c>
      <c r="D3" s="5">
        <v>72</v>
      </c>
      <c r="E3" s="5">
        <v>58</v>
      </c>
      <c r="F3" s="5">
        <v>88</v>
      </c>
      <c r="G3" s="5">
        <v>90</v>
      </c>
      <c r="H3" s="5">
        <v>37</v>
      </c>
      <c r="I3" s="5">
        <v>83</v>
      </c>
      <c r="J3" s="5">
        <f>SUM(D3:I3)</f>
        <v>428</v>
      </c>
      <c r="K3" s="6">
        <f>J3/6</f>
        <v>71.333333333333329</v>
      </c>
    </row>
    <row r="4" spans="1:11" ht="22.2">
      <c r="A4" s="4">
        <v>2</v>
      </c>
      <c r="B4" s="5" t="s">
        <v>9</v>
      </c>
      <c r="C4" s="13">
        <v>31284</v>
      </c>
      <c r="D4" s="5">
        <v>45</v>
      </c>
      <c r="E4" s="5">
        <v>67</v>
      </c>
      <c r="F4" s="5">
        <v>64</v>
      </c>
      <c r="G4" s="5">
        <v>50</v>
      </c>
      <c r="H4" s="5">
        <v>65</v>
      </c>
      <c r="I4" s="5">
        <v>54</v>
      </c>
      <c r="J4" s="5">
        <f>SUM(D4:I4)</f>
        <v>345</v>
      </c>
      <c r="K4" s="6">
        <f>J4/6</f>
        <v>57.5</v>
      </c>
    </row>
    <row r="5" spans="1:11" ht="22.2">
      <c r="A5" s="4">
        <v>3</v>
      </c>
      <c r="B5" s="5" t="s">
        <v>10</v>
      </c>
      <c r="C5" s="13">
        <v>34769</v>
      </c>
      <c r="D5" s="5">
        <v>74</v>
      </c>
      <c r="E5" s="5">
        <v>74</v>
      </c>
      <c r="F5" s="5">
        <v>78</v>
      </c>
      <c r="G5" s="5">
        <v>97</v>
      </c>
      <c r="H5" s="5">
        <v>66</v>
      </c>
      <c r="I5" s="5">
        <v>99</v>
      </c>
      <c r="J5" s="5">
        <f>SUM(D5:I5)</f>
        <v>488</v>
      </c>
      <c r="K5" s="6">
        <f>J5/6</f>
        <v>81.333333333333329</v>
      </c>
    </row>
    <row r="6" spans="1:11" ht="22.2">
      <c r="A6" s="4">
        <v>4</v>
      </c>
      <c r="B6" s="5" t="s">
        <v>11</v>
      </c>
      <c r="C6" s="13">
        <v>27587</v>
      </c>
      <c r="D6" s="5">
        <v>45</v>
      </c>
      <c r="E6" s="5">
        <v>68</v>
      </c>
      <c r="F6" s="5">
        <v>83</v>
      </c>
      <c r="G6" s="5">
        <v>48</v>
      </c>
      <c r="H6" s="5">
        <v>66</v>
      </c>
      <c r="I6" s="5">
        <v>44</v>
      </c>
      <c r="J6" s="5">
        <f>SUM(D6:I6)</f>
        <v>354</v>
      </c>
      <c r="K6" s="6">
        <f>AVERAGE(D6:I6)</f>
        <v>59</v>
      </c>
    </row>
    <row r="7" spans="1:11" ht="22.2">
      <c r="A7" s="4">
        <v>5</v>
      </c>
      <c r="B7" s="5" t="s">
        <v>12</v>
      </c>
      <c r="C7" s="13">
        <v>31284</v>
      </c>
      <c r="D7" s="5">
        <v>50</v>
      </c>
      <c r="E7" s="5">
        <v>68</v>
      </c>
      <c r="F7" s="5">
        <v>50</v>
      </c>
      <c r="G7" s="5">
        <v>78</v>
      </c>
      <c r="H7" s="5">
        <v>34</v>
      </c>
      <c r="I7" s="5">
        <v>71</v>
      </c>
      <c r="J7" s="5">
        <f>SUM(D7:I7)</f>
        <v>351</v>
      </c>
      <c r="K7" s="6">
        <f t="shared" ref="K7:K12" si="0">AVERAGE(D7:I7)</f>
        <v>58.5</v>
      </c>
    </row>
    <row r="8" spans="1:11" ht="22.2">
      <c r="A8" s="4">
        <v>6</v>
      </c>
      <c r="B8" s="5" t="s">
        <v>13</v>
      </c>
      <c r="C8" s="13">
        <v>34769</v>
      </c>
      <c r="D8" s="5">
        <v>84</v>
      </c>
      <c r="E8" s="5">
        <v>85</v>
      </c>
      <c r="F8" s="5">
        <v>99</v>
      </c>
      <c r="G8" s="5">
        <v>75</v>
      </c>
      <c r="H8" s="5">
        <v>85</v>
      </c>
      <c r="I8" s="5">
        <v>36</v>
      </c>
      <c r="J8" s="5">
        <f t="shared" ref="J8:J12" si="1">SUM(D8:I8)</f>
        <v>464</v>
      </c>
      <c r="K8" s="6">
        <f t="shared" si="0"/>
        <v>77.333333333333329</v>
      </c>
    </row>
    <row r="9" spans="1:11" ht="22.2">
      <c r="A9" s="4">
        <v>7</v>
      </c>
      <c r="B9" s="5" t="s">
        <v>14</v>
      </c>
      <c r="C9" s="13">
        <v>27587</v>
      </c>
      <c r="D9" s="5">
        <v>31</v>
      </c>
      <c r="E9" s="5">
        <v>95</v>
      </c>
      <c r="F9" s="5">
        <v>90</v>
      </c>
      <c r="G9" s="5">
        <v>71</v>
      </c>
      <c r="H9" s="5">
        <v>31</v>
      </c>
      <c r="I9" s="5">
        <v>82</v>
      </c>
      <c r="J9" s="5">
        <f t="shared" si="1"/>
        <v>400</v>
      </c>
      <c r="K9" s="6">
        <f t="shared" si="0"/>
        <v>66.666666666666671</v>
      </c>
    </row>
    <row r="10" spans="1:11" ht="22.2">
      <c r="A10" s="4">
        <v>8</v>
      </c>
      <c r="B10" s="5" t="s">
        <v>15</v>
      </c>
      <c r="C10" s="13">
        <v>31284</v>
      </c>
      <c r="D10" s="5">
        <v>45</v>
      </c>
      <c r="E10" s="5">
        <v>47</v>
      </c>
      <c r="F10" s="5">
        <v>60</v>
      </c>
      <c r="G10" s="5">
        <v>44</v>
      </c>
      <c r="H10" s="5">
        <v>47</v>
      </c>
      <c r="I10" s="5">
        <v>58</v>
      </c>
      <c r="J10" s="5">
        <f t="shared" si="1"/>
        <v>301</v>
      </c>
      <c r="K10" s="6">
        <f t="shared" si="0"/>
        <v>50.166666666666664</v>
      </c>
    </row>
    <row r="11" spans="1:11" ht="22.2">
      <c r="A11" s="4">
        <v>9</v>
      </c>
      <c r="B11" s="5" t="s">
        <v>16</v>
      </c>
      <c r="C11" s="13">
        <v>34769</v>
      </c>
      <c r="D11" s="5">
        <v>36</v>
      </c>
      <c r="E11" s="5">
        <v>75</v>
      </c>
      <c r="F11" s="5">
        <v>55</v>
      </c>
      <c r="G11" s="5">
        <v>61</v>
      </c>
      <c r="H11" s="5">
        <v>35</v>
      </c>
      <c r="I11" s="5">
        <v>93</v>
      </c>
      <c r="J11" s="5">
        <f t="shared" si="1"/>
        <v>355</v>
      </c>
      <c r="K11" s="6">
        <f t="shared" si="0"/>
        <v>59.166666666666664</v>
      </c>
    </row>
    <row r="12" spans="1:11" ht="63">
      <c r="A12" s="10">
        <v>10</v>
      </c>
      <c r="B12" s="11" t="s">
        <v>19</v>
      </c>
      <c r="C12" s="13">
        <v>27587</v>
      </c>
      <c r="D12" s="12">
        <v>45</v>
      </c>
      <c r="E12" s="12">
        <v>49</v>
      </c>
      <c r="F12" s="12">
        <v>38</v>
      </c>
      <c r="G12" s="12">
        <v>84</v>
      </c>
      <c r="H12" s="12">
        <v>37</v>
      </c>
      <c r="I12" s="12">
        <v>56</v>
      </c>
      <c r="J12" s="12">
        <f t="shared" si="1"/>
        <v>309</v>
      </c>
      <c r="K12" s="12">
        <f t="shared" si="0"/>
        <v>51.5</v>
      </c>
    </row>
    <row r="13" spans="1:11" ht="22.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2.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teachers</vt:lpstr>
      <vt:lpstr>course</vt:lpstr>
      <vt:lpstr>fees</vt:lpstr>
      <vt:lpstr>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2026-07-21T04:38:55Z</dcterms:created>
  <dcterms:modified xsi:type="dcterms:W3CDTF">2026-07-25T05:00:44Z</dcterms:modified>
</cp:coreProperties>
</file>